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101" documentId="8_{073048C2-7CD9-4376-9D9E-0830DC7CCDDD}" xr6:coauthVersionLast="47" xr6:coauthVersionMax="47" xr10:uidLastSave="{6FD5DB79-6552-414B-A093-85B2C2F1FF21}"/>
  <bookViews>
    <workbookView xWindow="11442" yWindow="0" windowWidth="11676" windowHeight="14478" tabRatio="561" firstSheet="1" activeTab="1" xr2:uid="{E1AF3CD1-CB2B-DF49-8AE0-5102673581F0}"/>
  </bookViews>
  <sheets>
    <sheet name="1 Flow and Facility details" sheetId="1" r:id="rId1"/>
    <sheet name="2 Drag Measuremen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<sst xmlns="http://schemas.openxmlformats.org/spreadsheetml/2006/main" count="169" uniqueCount="78">
  <si>
    <t>Quantity</t>
  </si>
  <si>
    <t>Symbol</t>
  </si>
  <si>
    <t>Nominal value</t>
  </si>
  <si>
    <t>Units</t>
  </si>
  <si>
    <t>Ambient pressure</t>
  </si>
  <si>
    <t>P_a</t>
  </si>
  <si>
    <t>hPa</t>
  </si>
  <si>
    <t>Ambient temperature</t>
  </si>
  <si>
    <t>T_a</t>
  </si>
  <si>
    <t>deg C</t>
  </si>
  <si>
    <t>Settling Chamber width</t>
  </si>
  <si>
    <t>mm</t>
  </si>
  <si>
    <t>Test section width</t>
  </si>
  <si>
    <t>Big mass</t>
  </si>
  <si>
    <t>m_L</t>
  </si>
  <si>
    <t>g</t>
  </si>
  <si>
    <t>Small mass</t>
  </si>
  <si>
    <t>m_S</t>
  </si>
  <si>
    <t>l_a</t>
  </si>
  <si>
    <t>theta</t>
  </si>
  <si>
    <t>deg</t>
  </si>
  <si>
    <t>Aerofoil span</t>
  </si>
  <si>
    <t>b</t>
  </si>
  <si>
    <t>Aerofoil chord</t>
  </si>
  <si>
    <t>c</t>
  </si>
  <si>
    <t>Angle of attack</t>
  </si>
  <si>
    <t>alpha</t>
  </si>
  <si>
    <t>Gradation spacing</t>
  </si>
  <si>
    <t>x_L</t>
  </si>
  <si>
    <t>x_S</t>
  </si>
  <si>
    <t>as set</t>
  </si>
  <si>
    <t>Pressure readings</t>
  </si>
  <si>
    <t>[mm]</t>
  </si>
  <si>
    <t>kg/m^3</t>
  </si>
  <si>
    <t>Gravitational acceleration</t>
  </si>
  <si>
    <t>m/s^2</t>
  </si>
  <si>
    <t>Water density</t>
  </si>
  <si>
    <t>rho_w</t>
  </si>
  <si>
    <t>Specific Gas constant, Air</t>
  </si>
  <si>
    <t>R</t>
  </si>
  <si>
    <t>J/kg/K</t>
  </si>
  <si>
    <t>Kelvin offset to Celsius</t>
  </si>
  <si>
    <t>Manometer details</t>
  </si>
  <si>
    <t>p_1, etc</t>
  </si>
  <si>
    <t>Air details</t>
  </si>
  <si>
    <t>as measured</t>
  </si>
  <si>
    <t>Tunnel details</t>
  </si>
  <si>
    <t>Measurement #1</t>
  </si>
  <si>
    <t>Measurement #2</t>
  </si>
  <si>
    <t>(Reading) accuracy</t>
  </si>
  <si>
    <t>(18–23deg C)</t>
  </si>
  <si>
    <t>x_1</t>
  </si>
  <si>
    <t>x_2</t>
  </si>
  <si>
    <t>nu</t>
  </si>
  <si>
    <t>m^2/s</t>
  </si>
  <si>
    <t>Kinematic viscosity</t>
  </si>
  <si>
    <t>(18–22deg C)</t>
  </si>
  <si>
    <t>(negligible)</t>
  </si>
  <si>
    <t>Settling Chamber depth</t>
  </si>
  <si>
    <t>Contraction entrance width</t>
  </si>
  <si>
    <t>Contraction entrance height</t>
  </si>
  <si>
    <t>in Southampton, per EGM2008 (via Wolfram)</t>
  </si>
  <si>
    <t>Moment arm length (horizontal)</t>
  </si>
  <si>
    <t>Moment arm length (vertical)</t>
  </si>
  <si>
    <t>Aerofoil #1</t>
  </si>
  <si>
    <t>Aerofoil thickness</t>
  </si>
  <si>
    <t>t</t>
  </si>
  <si>
    <t>Throttle</t>
  </si>
  <si>
    <t>[%]</t>
  </si>
  <si>
    <t>Aerofoil #2</t>
  </si>
  <si>
    <t>Drag Balance Details</t>
  </si>
  <si>
    <t>Aerofoil #1 details</t>
  </si>
  <si>
    <t>Aerofoil #2 details</t>
  </si>
  <si>
    <t>Test section height</t>
  </si>
  <si>
    <t>Distance of pivot to tunnel exit</t>
  </si>
  <si>
    <t>Settling Chamber height</t>
  </si>
  <si>
    <t>Angle with respect to vertical</t>
  </si>
  <si>
    <t>Manometer Inclination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</si>
</sst>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4" xfId="0" applyBorder="1"/>
    <xf numFmtId="0" fontId="0" fillId="0" borderId="5" xfId="0" applyBorder="1"/>
    <xf numFmtId="164" fontId="0" fillId="0" borderId="0" xfId="0" applyNumberFormat="1" applyAlignment="1">
      <alignment horizontal="center"/>
    </xf>
    <xf numFmtId="164" fontId="0" fillId="0" borderId="5" xfId="0" applyNumberFormat="1" applyBorder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/>
    <xf numFmtId="11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0" fillId="0" borderId="0" xfId="0" applyNumberFormat="1" applyFont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94E4-D6A4-5941-AFEF-38806FD64C71}">
  <dimension ref="A1:F43"/>
  <sheetViews>
    <sheetView workbookViewId="0">
      <selection activeCell="D45" sqref="D45"/>
    </sheetView>
  </sheetViews>
  <sheetFormatPr defaultColWidth="10.84765625" defaultRowHeight="15.6" x14ac:dyDescent="0.6"/>
  <cols>
    <col min="1" max="1" width="27.1484375" bestFit="1" customWidth="1"/>
    <col min="2" max="2" width="7.1484375" bestFit="1" customWidth="1"/>
    <col min="3" max="3" width="16" bestFit="1" customWidth="1"/>
    <col min="4" max="4" width="16.84765625" bestFit="1" customWidth="1"/>
  </cols>
  <sheetData>
    <row r="1" spans="1:5" ht="15.9" thickBot="1" x14ac:dyDescent="0.65">
      <c r="A1" s="13" t="s">
        <v>0</v>
      </c>
      <c r="B1" s="13" t="s">
        <v>1</v>
      </c>
      <c r="C1" s="13" t="s">
        <v>2</v>
      </c>
      <c r="D1" s="13" t="s">
        <v>49</v>
      </c>
      <c r="E1" s="13" t="s">
        <v>3</v>
      </c>
    </row>
    <row r="2" spans="1:5" ht="25.8" x14ac:dyDescent="0.95">
      <c r="A2" s="7" t="s">
        <v>46</v>
      </c>
      <c r="B2" s="8"/>
      <c r="C2" s="8"/>
      <c r="D2" s="8"/>
      <c r="E2" s="9"/>
    </row>
    <row r="3" spans="1:5" x14ac:dyDescent="0.6">
      <c r="A3" s="3" t="s">
        <v>10</v>
      </c>
      <c r="C3" s="2">
        <v>400</v>
      </c>
      <c r="D3" s="2">
        <v>0.5</v>
      </c>
      <c r="E3" s="4" t="s">
        <v>11</v>
      </c>
    </row>
    <row r="4" spans="1:5" x14ac:dyDescent="0.6">
      <c r="A4" s="3" t="s">
        <v>75</v>
      </c>
      <c r="C4" s="2">
        <v>400</v>
      </c>
      <c r="D4" s="2">
        <v>0.5</v>
      </c>
      <c r="E4" s="4" t="s">
        <v>11</v>
      </c>
    </row>
    <row r="5" spans="1:5" x14ac:dyDescent="0.6">
      <c r="A5" s="3" t="s">
        <v>58</v>
      </c>
      <c r="C5" s="2">
        <v>100</v>
      </c>
      <c r="D5" s="2">
        <v>0.5</v>
      </c>
      <c r="E5" s="4" t="s">
        <v>11</v>
      </c>
    </row>
    <row r="6" spans="1:5" x14ac:dyDescent="0.6">
      <c r="A6" s="3" t="s">
        <v>59</v>
      </c>
      <c r="C6" s="2">
        <v>200</v>
      </c>
      <c r="D6" s="2">
        <v>0.5</v>
      </c>
      <c r="E6" s="4" t="s">
        <v>11</v>
      </c>
    </row>
    <row r="7" spans="1:5" x14ac:dyDescent="0.6">
      <c r="A7" s="3" t="s">
        <v>60</v>
      </c>
      <c r="C7" s="2">
        <v>200</v>
      </c>
      <c r="D7" s="2">
        <v>0.5</v>
      </c>
      <c r="E7" s="4" t="s">
        <v>11</v>
      </c>
    </row>
    <row r="8" spans="1:5" x14ac:dyDescent="0.6">
      <c r="A8" s="3" t="s">
        <v>12</v>
      </c>
      <c r="C8" s="2">
        <v>100</v>
      </c>
      <c r="D8" s="2">
        <v>0.5</v>
      </c>
      <c r="E8" s="4" t="s">
        <v>11</v>
      </c>
    </row>
    <row r="9" spans="1:5" x14ac:dyDescent="0.6">
      <c r="A9" s="3" t="s">
        <v>73</v>
      </c>
      <c r="C9" s="2">
        <v>50</v>
      </c>
      <c r="D9" s="2">
        <v>0.5</v>
      </c>
      <c r="E9" s="4" t="s">
        <v>11</v>
      </c>
    </row>
    <row r="10" spans="1:5" x14ac:dyDescent="0.6">
      <c r="A10" s="3" t="s">
        <v>74</v>
      </c>
      <c r="C10" s="2">
        <v>50</v>
      </c>
      <c r="D10" s="2">
        <v>0.5</v>
      </c>
      <c r="E10" s="4" t="s">
        <v>11</v>
      </c>
    </row>
    <row r="11" spans="1:5" x14ac:dyDescent="0.6">
      <c r="A11" s="3"/>
      <c r="C11" s="2"/>
      <c r="D11" s="2"/>
      <c r="E11" s="4"/>
    </row>
    <row r="12" spans="1:5" ht="25.8" x14ac:dyDescent="0.95">
      <c r="A12" s="10" t="s">
        <v>70</v>
      </c>
      <c r="C12" s="2"/>
      <c r="D12" s="2"/>
      <c r="E12" s="4"/>
    </row>
    <row r="13" spans="1:5" x14ac:dyDescent="0.6">
      <c r="A13" s="3" t="s">
        <v>13</v>
      </c>
      <c r="B13" t="s">
        <v>14</v>
      </c>
      <c r="C13" s="2">
        <v>100.1</v>
      </c>
      <c r="D13" s="2">
        <v>0.5</v>
      </c>
      <c r="E13" s="4" t="s">
        <v>15</v>
      </c>
    </row>
    <row r="14" spans="1:5" x14ac:dyDescent="0.6">
      <c r="A14" s="3" t="s">
        <v>16</v>
      </c>
      <c r="B14" t="s">
        <v>17</v>
      </c>
      <c r="C14" s="2">
        <v>10.7</v>
      </c>
      <c r="D14" s="2">
        <v>0.5</v>
      </c>
      <c r="E14" s="4" t="s">
        <v>15</v>
      </c>
    </row>
    <row r="15" spans="1:5" x14ac:dyDescent="0.6">
      <c r="A15" s="3" t="s">
        <v>62</v>
      </c>
      <c r="B15" t="s">
        <v>18</v>
      </c>
      <c r="C15" s="2">
        <v>100</v>
      </c>
      <c r="D15" s="2">
        <v>0.5</v>
      </c>
      <c r="E15" s="4" t="s">
        <v>11</v>
      </c>
    </row>
    <row r="16" spans="1:5" x14ac:dyDescent="0.6">
      <c r="A16" s="3" t="s">
        <v>63</v>
      </c>
      <c r="C16" s="2">
        <v>10</v>
      </c>
      <c r="D16" s="2">
        <v>0.5</v>
      </c>
      <c r="E16" s="4" t="s">
        <v>11</v>
      </c>
    </row>
    <row r="17" spans="1:6" x14ac:dyDescent="0.6">
      <c r="A17" s="3" t="s">
        <v>27</v>
      </c>
      <c r="C17" s="2">
        <v>1</v>
      </c>
      <c r="D17" s="2">
        <v>0.5</v>
      </c>
      <c r="E17" s="4" t="s">
        <v>11</v>
      </c>
    </row>
    <row r="18" spans="1:6" x14ac:dyDescent="0.6">
      <c r="A18" s="3"/>
      <c r="C18" s="2"/>
      <c r="D18" s="2"/>
      <c r="E18" s="4"/>
    </row>
    <row r="19" spans="1:6" ht="25.8" x14ac:dyDescent="0.95">
      <c r="A19" s="10" t="s">
        <v>42</v>
      </c>
      <c r="C19" s="2"/>
      <c r="D19" s="2"/>
      <c r="E19" s="4"/>
    </row>
    <row r="20" spans="1:6" x14ac:dyDescent="0.6">
      <c r="A20" s="3" t="s">
        <v>76</v>
      </c>
      <c r="B20" t="s">
        <v>19</v>
      </c>
      <c r="C20" s="2">
        <v>60</v>
      </c>
      <c r="D20" s="2">
        <v>0.5</v>
      </c>
      <c r="E20" s="4" t="s">
        <v>20</v>
      </c>
    </row>
    <row r="21" spans="1:6" x14ac:dyDescent="0.6">
      <c r="A21" s="3" t="s">
        <v>31</v>
      </c>
      <c r="B21" t="s">
        <v>43</v>
      </c>
      <c r="C21" s="2" t="s">
        <v>45</v>
      </c>
      <c r="D21" s="2">
        <v>0.5</v>
      </c>
      <c r="E21" s="4" t="s">
        <v>11</v>
      </c>
    </row>
    <row r="22" spans="1:6" x14ac:dyDescent="0.6">
      <c r="A22" s="3" t="s">
        <v>34</v>
      </c>
      <c r="B22" t="s">
        <v>15</v>
      </c>
      <c r="C22" s="2">
        <v>9.8353900000000003</v>
      </c>
      <c r="D22" s="11">
        <v>5.0000000000000004E-6</v>
      </c>
      <c r="E22" s="4" t="s">
        <v>35</v>
      </c>
      <c r="F22" t="s">
        <v>61</v>
      </c>
    </row>
    <row r="23" spans="1:6" x14ac:dyDescent="0.6">
      <c r="A23" s="3" t="s">
        <v>36</v>
      </c>
      <c r="B23" t="s">
        <v>37</v>
      </c>
      <c r="C23" s="2">
        <v>998</v>
      </c>
      <c r="D23" s="2">
        <v>0.5</v>
      </c>
      <c r="E23" s="4" t="s">
        <v>33</v>
      </c>
      <c r="F23" t="s">
        <v>50</v>
      </c>
    </row>
    <row r="24" spans="1:6" x14ac:dyDescent="0.6">
      <c r="A24" s="3" t="s">
        <v>27</v>
      </c>
      <c r="C24" s="2">
        <v>1</v>
      </c>
      <c r="D24" s="2">
        <v>0.5</v>
      </c>
      <c r="E24" s="4" t="s">
        <v>11</v>
      </c>
    </row>
    <row r="25" spans="1:6" x14ac:dyDescent="0.6">
      <c r="A25" s="3"/>
      <c r="C25" s="2"/>
      <c r="D25" s="2"/>
      <c r="E25" s="4"/>
    </row>
    <row r="26" spans="1:6" ht="25.8" x14ac:dyDescent="0.95">
      <c r="A26" s="10" t="s">
        <v>44</v>
      </c>
      <c r="C26" s="2"/>
      <c r="D26" s="2"/>
      <c r="E26" s="4"/>
    </row>
    <row r="27" spans="1:6" x14ac:dyDescent="0.6">
      <c r="A27" s="3" t="s">
        <v>4</v>
      </c>
      <c r="B27" t="s">
        <v>5</v>
      </c>
      <c r="C27" s="2">
        <v>1025</v>
      </c>
      <c r="D27" s="2">
        <v>0.5</v>
      </c>
      <c r="E27" s="4" t="s">
        <v>6</v>
      </c>
    </row>
    <row r="28" spans="1:6" x14ac:dyDescent="0.6">
      <c r="A28" s="3" t="s">
        <v>7</v>
      </c>
      <c r="B28" t="s">
        <v>8</v>
      </c>
      <c r="C28" s="2">
        <v>24</v>
      </c>
      <c r="D28" s="2">
        <v>0.5</v>
      </c>
      <c r="E28" s="4" t="s">
        <v>9</v>
      </c>
    </row>
    <row r="29" spans="1:6" x14ac:dyDescent="0.6">
      <c r="A29" s="3" t="s">
        <v>38</v>
      </c>
      <c r="B29" t="s">
        <v>39</v>
      </c>
      <c r="C29" s="12">
        <v>287.05799999999999</v>
      </c>
      <c r="D29" s="2" t="s">
        <v>57</v>
      </c>
      <c r="E29" s="4" t="s">
        <v>40</v>
      </c>
    </row>
    <row r="30" spans="1:6" x14ac:dyDescent="0.6">
      <c r="A30" s="3" t="s">
        <v>41</v>
      </c>
      <c r="C30" s="2">
        <v>273.14999999999998</v>
      </c>
      <c r="D30" s="2">
        <v>0</v>
      </c>
      <c r="E30" s="4" t="s">
        <v>20</v>
      </c>
    </row>
    <row r="31" spans="1:6" x14ac:dyDescent="0.6">
      <c r="A31" s="3" t="s">
        <v>55</v>
      </c>
      <c r="B31" t="s">
        <v>53</v>
      </c>
      <c r="C31" s="11">
        <v>1.5E-5</v>
      </c>
      <c r="D31" s="11">
        <v>2.4999999999999999E-7</v>
      </c>
      <c r="E31" s="4" t="s">
        <v>54</v>
      </c>
      <c r="F31" t="s">
        <v>56</v>
      </c>
    </row>
    <row r="32" spans="1:6" x14ac:dyDescent="0.6">
      <c r="A32" s="3"/>
      <c r="C32" s="2"/>
      <c r="D32" s="2"/>
      <c r="E32" s="4"/>
    </row>
    <row r="33" spans="1:5" ht="25.8" x14ac:dyDescent="0.95">
      <c r="A33" s="10" t="s">
        <v>71</v>
      </c>
      <c r="C33" s="2"/>
      <c r="D33" s="2"/>
      <c r="E33" s="4"/>
    </row>
    <row r="34" spans="1:5" x14ac:dyDescent="0.6">
      <c r="A34" s="3" t="s">
        <v>21</v>
      </c>
      <c r="B34" t="s">
        <v>22</v>
      </c>
      <c r="C34" s="2">
        <v>48.5</v>
      </c>
      <c r="D34" s="2">
        <v>0.5</v>
      </c>
      <c r="E34" s="4" t="s">
        <v>11</v>
      </c>
    </row>
    <row r="35" spans="1:5" x14ac:dyDescent="0.6">
      <c r="A35" s="3" t="s">
        <v>23</v>
      </c>
      <c r="B35" t="s">
        <v>24</v>
      </c>
      <c r="C35" s="2">
        <v>62.5</v>
      </c>
      <c r="D35" s="2">
        <v>0.5</v>
      </c>
      <c r="E35" s="4" t="s">
        <v>11</v>
      </c>
    </row>
    <row r="36" spans="1:5" x14ac:dyDescent="0.6">
      <c r="A36" s="3" t="s">
        <v>65</v>
      </c>
      <c r="B36" t="s">
        <v>66</v>
      </c>
      <c r="C36" s="2">
        <v>12</v>
      </c>
      <c r="D36" s="2">
        <v>0.5</v>
      </c>
      <c r="E36" s="4" t="s">
        <v>11</v>
      </c>
    </row>
    <row r="37" spans="1:5" x14ac:dyDescent="0.6">
      <c r="A37" s="3" t="s">
        <v>25</v>
      </c>
      <c r="B37" t="s">
        <v>26</v>
      </c>
      <c r="C37" s="2" t="s">
        <v>30</v>
      </c>
      <c r="D37" s="2">
        <v>0</v>
      </c>
      <c r="E37" s="4" t="s">
        <v>20</v>
      </c>
    </row>
    <row r="38" spans="1:5" x14ac:dyDescent="0.6">
      <c r="A38" s="3"/>
      <c r="E38" s="4"/>
    </row>
    <row r="39" spans="1:5" ht="25.8" x14ac:dyDescent="0.95">
      <c r="A39" s="10" t="s">
        <v>72</v>
      </c>
      <c r="C39" s="2"/>
      <c r="D39" s="2"/>
      <c r="E39" s="4"/>
    </row>
    <row r="40" spans="1:5" x14ac:dyDescent="0.6">
      <c r="A40" s="3" t="s">
        <v>21</v>
      </c>
      <c r="B40" t="s">
        <v>22</v>
      </c>
      <c r="C40" s="2">
        <v>49</v>
      </c>
      <c r="D40" s="2">
        <v>0.5</v>
      </c>
      <c r="E40" s="4" t="s">
        <v>11</v>
      </c>
    </row>
    <row r="41" spans="1:5" x14ac:dyDescent="0.6">
      <c r="A41" s="3" t="s">
        <v>23</v>
      </c>
      <c r="B41" t="s">
        <v>24</v>
      </c>
      <c r="C41" s="2">
        <v>94</v>
      </c>
      <c r="D41" s="2">
        <v>0.5</v>
      </c>
      <c r="E41" s="4" t="s">
        <v>11</v>
      </c>
    </row>
    <row r="42" spans="1:5" x14ac:dyDescent="0.6">
      <c r="A42" s="3" t="s">
        <v>65</v>
      </c>
      <c r="B42" t="s">
        <v>66</v>
      </c>
      <c r="C42" s="2">
        <v>19</v>
      </c>
      <c r="D42" s="2">
        <v>0.5</v>
      </c>
      <c r="E42" s="4" t="s">
        <v>11</v>
      </c>
    </row>
    <row r="43" spans="1:5" x14ac:dyDescent="0.6">
      <c r="A43" s="3" t="s">
        <v>25</v>
      </c>
      <c r="B43" t="s">
        <v>26</v>
      </c>
      <c r="C43" s="2" t="s">
        <v>30</v>
      </c>
      <c r="D43" s="2">
        <v>0</v>
      </c>
      <c r="E43" s="4" t="s">
        <v>20</v>
      </c>
    </row>
  </sheetData>
  <conditionalFormatting sqref="C3:D10 C13:D17 C27:D31 C34:D37">
    <cfRule type="containsBlanks" dxfId="4" priority="5">
      <formula>LEN(TRIM(C3))=0</formula>
    </cfRule>
  </conditionalFormatting>
  <conditionalFormatting sqref="C20:D24">
    <cfRule type="containsBlanks" dxfId="3" priority="2">
      <formula>LEN(TRIM(C20))=0</formula>
    </cfRule>
  </conditionalFormatting>
  <conditionalFormatting sqref="C40:D43">
    <cfRule type="containsBlanks" dxfId="2" priority="1">
      <formula>LEN(TRIM(C40))=0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6728-F3BD-044C-BCAB-24C0FD5473BC}">
  <dimension ref="A1:M20"/>
  <sheetViews>
    <sheetView tabSelected="1" zoomScale="116" zoomScaleNormal="100" workbookViewId="0">
      <selection activeCell="F22" sqref="F22"/>
    </sheetView>
  </sheetViews>
  <sheetFormatPr defaultColWidth="10.84765625" defaultRowHeight="15.6" x14ac:dyDescent="0.6"/>
  <cols>
    <col min="1" max="1" width="19.5" bestFit="1" customWidth="1"/>
    <col min="2" max="2" width="7.1484375" bestFit="1" customWidth="1"/>
    <col min="3" max="3" width="5.1484375" bestFit="1" customWidth="1"/>
    <col min="4" max="4" width="5.1484375" customWidth="1"/>
    <col min="5" max="6" width="5.1484375" bestFit="1" customWidth="1"/>
    <col min="7" max="7" width="4.84765625" customWidth="1"/>
    <col min="8" max="8" width="19.5" bestFit="1" customWidth="1"/>
    <col min="9" max="9" width="7.1484375" bestFit="1" customWidth="1"/>
    <col min="10" max="13" width="5.1484375" bestFit="1" customWidth="1"/>
  </cols>
  <sheetData>
    <row r="1" spans="1:13" ht="25.8" x14ac:dyDescent="0.95">
      <c r="A1" s="15" t="s">
        <v>64</v>
      </c>
      <c r="B1" s="16"/>
      <c r="C1" s="16"/>
      <c r="D1" s="16"/>
      <c r="E1" s="16"/>
      <c r="F1" s="17"/>
      <c r="H1" s="15" t="s">
        <v>69</v>
      </c>
      <c r="I1" s="16"/>
      <c r="J1" s="16"/>
      <c r="K1" s="16"/>
      <c r="L1" s="16"/>
      <c r="M1" s="17"/>
    </row>
    <row r="2" spans="1:13" ht="25.8" x14ac:dyDescent="0.95">
      <c r="A2" s="3" t="s">
        <v>21</v>
      </c>
      <c r="B2" t="s">
        <v>22</v>
      </c>
      <c r="C2" s="2">
        <v>48.5</v>
      </c>
      <c r="D2" s="2">
        <v>0.5</v>
      </c>
      <c r="E2" t="s">
        <v>11</v>
      </c>
      <c r="F2" s="14"/>
      <c r="H2" s="3" t="s">
        <v>21</v>
      </c>
      <c r="I2" t="s">
        <v>22</v>
      </c>
      <c r="J2" s="2">
        <v>49</v>
      </c>
      <c r="K2" s="2">
        <v>0.5</v>
      </c>
      <c r="L2" t="s">
        <v>11</v>
      </c>
      <c r="M2" s="14"/>
    </row>
    <row r="3" spans="1:13" ht="25.8" x14ac:dyDescent="0.95">
      <c r="A3" s="3" t="s">
        <v>23</v>
      </c>
      <c r="B3" t="s">
        <v>24</v>
      </c>
      <c r="C3" s="2">
        <v>62.5</v>
      </c>
      <c r="D3" s="2">
        <v>0.5</v>
      </c>
      <c r="E3" t="s">
        <v>11</v>
      </c>
      <c r="F3" s="14"/>
      <c r="H3" s="3" t="s">
        <v>23</v>
      </c>
      <c r="I3" t="s">
        <v>24</v>
      </c>
      <c r="J3" s="2">
        <v>94</v>
      </c>
      <c r="K3" s="2">
        <v>0.5</v>
      </c>
      <c r="L3" t="s">
        <v>11</v>
      </c>
      <c r="M3" s="14"/>
    </row>
    <row r="4" spans="1:13" ht="25.8" x14ac:dyDescent="0.95">
      <c r="A4" s="3" t="s">
        <v>65</v>
      </c>
      <c r="B4" t="s">
        <v>66</v>
      </c>
      <c r="C4" s="2">
        <v>12</v>
      </c>
      <c r="D4" s="2">
        <v>0.5</v>
      </c>
      <c r="E4" t="s">
        <v>11</v>
      </c>
      <c r="F4" s="14"/>
      <c r="H4" s="3" t="s">
        <v>65</v>
      </c>
      <c r="I4" t="s">
        <v>66</v>
      </c>
      <c r="J4" s="2">
        <v>19</v>
      </c>
      <c r="K4" s="2">
        <v>0.5</v>
      </c>
      <c r="L4" t="s">
        <v>11</v>
      </c>
      <c r="M4" s="14"/>
    </row>
    <row r="5" spans="1:13" ht="25.8" x14ac:dyDescent="0.95">
      <c r="A5" s="3" t="s">
        <v>77</v>
      </c>
      <c r="B5" t="s">
        <v>19</v>
      </c>
      <c r="C5" s="2">
        <v>60</v>
      </c>
      <c r="D5" s="2">
        <v>60</v>
      </c>
      <c r="E5" t="s">
        <v>20</v>
      </c>
      <c r="F5" s="14"/>
      <c r="H5" s="3" t="s">
        <v>77</v>
      </c>
      <c r="I5" t="s">
        <v>19</v>
      </c>
      <c r="J5" s="2">
        <v>60</v>
      </c>
      <c r="K5" s="2">
        <v>60</v>
      </c>
      <c r="L5" t="s">
        <v>20</v>
      </c>
      <c r="M5" s="14"/>
    </row>
    <row r="6" spans="1:13" x14ac:dyDescent="0.6">
      <c r="A6" s="3"/>
      <c r="F6" s="4"/>
      <c r="H6" s="3"/>
      <c r="M6" s="4"/>
    </row>
    <row r="7" spans="1:13" x14ac:dyDescent="0.6">
      <c r="A7" s="3" t="s">
        <v>47</v>
      </c>
      <c r="B7" t="s">
        <v>67</v>
      </c>
      <c r="C7" t="s">
        <v>51</v>
      </c>
      <c r="D7" t="s">
        <v>52</v>
      </c>
      <c r="E7" t="s">
        <v>28</v>
      </c>
      <c r="F7" s="4" t="s">
        <v>29</v>
      </c>
      <c r="H7" s="3" t="s">
        <v>47</v>
      </c>
      <c r="I7" t="s">
        <v>67</v>
      </c>
      <c r="J7" t="s">
        <v>51</v>
      </c>
      <c r="K7" t="s">
        <v>52</v>
      </c>
      <c r="L7" t="s">
        <v>28</v>
      </c>
      <c r="M7" s="4" t="s">
        <v>29</v>
      </c>
    </row>
    <row r="8" spans="1:13" x14ac:dyDescent="0.6">
      <c r="A8" s="3"/>
      <c r="B8" t="s">
        <v>68</v>
      </c>
      <c r="C8" t="s">
        <v>32</v>
      </c>
      <c r="D8" t="s">
        <v>32</v>
      </c>
      <c r="E8" t="s">
        <v>32</v>
      </c>
      <c r="F8" s="4" t="s">
        <v>32</v>
      </c>
      <c r="H8" s="3"/>
      <c r="I8" t="s">
        <v>68</v>
      </c>
      <c r="J8" t="s">
        <v>32</v>
      </c>
      <c r="K8" t="s">
        <v>32</v>
      </c>
      <c r="L8" t="s">
        <v>32</v>
      </c>
      <c r="M8" s="4" t="s">
        <v>32</v>
      </c>
    </row>
    <row r="9" spans="1:13" x14ac:dyDescent="0.6">
      <c r="A9" s="3"/>
      <c r="B9">
        <v>0</v>
      </c>
      <c r="C9" s="18">
        <v>60</v>
      </c>
      <c r="D9" s="5">
        <v>59.9</v>
      </c>
      <c r="E9" s="1">
        <v>21</v>
      </c>
      <c r="F9" s="5">
        <v>5</v>
      </c>
      <c r="H9" s="3"/>
      <c r="I9">
        <v>0</v>
      </c>
      <c r="J9" s="5">
        <v>56</v>
      </c>
      <c r="K9" s="5">
        <v>55.9</v>
      </c>
      <c r="L9" s="1">
        <v>34</v>
      </c>
      <c r="M9" s="6">
        <v>4.5</v>
      </c>
    </row>
    <row r="10" spans="1:13" x14ac:dyDescent="0.6">
      <c r="A10" s="3"/>
      <c r="B10">
        <v>25</v>
      </c>
      <c r="C10">
        <v>73</v>
      </c>
      <c r="D10">
        <v>60</v>
      </c>
      <c r="E10" s="5">
        <v>18.5</v>
      </c>
      <c r="F10" s="5">
        <v>3.4</v>
      </c>
      <c r="H10" s="3"/>
      <c r="I10">
        <v>25</v>
      </c>
      <c r="J10">
        <v>99</v>
      </c>
      <c r="K10">
        <v>95</v>
      </c>
      <c r="L10" s="5">
        <v>16</v>
      </c>
      <c r="M10" s="5">
        <v>4.3</v>
      </c>
    </row>
    <row r="11" spans="1:13" x14ac:dyDescent="0.6">
      <c r="A11" s="3"/>
      <c r="B11">
        <v>50</v>
      </c>
      <c r="C11">
        <v>128</v>
      </c>
      <c r="D11">
        <v>67</v>
      </c>
      <c r="E11" s="5">
        <v>18.5</v>
      </c>
      <c r="F11" s="5">
        <v>7.5</v>
      </c>
      <c r="H11" s="3"/>
      <c r="I11">
        <v>50</v>
      </c>
      <c r="J11">
        <v>136</v>
      </c>
      <c r="K11">
        <v>105</v>
      </c>
      <c r="L11" s="5">
        <v>16</v>
      </c>
      <c r="M11" s="5">
        <v>7.6</v>
      </c>
    </row>
    <row r="12" spans="1:13" x14ac:dyDescent="0.6">
      <c r="A12" s="3"/>
      <c r="B12">
        <v>75</v>
      </c>
      <c r="C12">
        <v>173</v>
      </c>
      <c r="D12">
        <v>75</v>
      </c>
      <c r="E12" s="5">
        <v>18.5</v>
      </c>
      <c r="F12" s="5">
        <v>10</v>
      </c>
      <c r="H12" s="3"/>
      <c r="I12">
        <v>75</v>
      </c>
      <c r="J12">
        <v>195</v>
      </c>
      <c r="K12">
        <v>120</v>
      </c>
      <c r="L12" s="5">
        <v>20</v>
      </c>
      <c r="M12" s="5">
        <v>7.9</v>
      </c>
    </row>
    <row r="13" spans="1:13" x14ac:dyDescent="0.6">
      <c r="A13" s="3"/>
      <c r="B13">
        <v>100</v>
      </c>
      <c r="C13">
        <v>186</v>
      </c>
      <c r="D13">
        <v>88</v>
      </c>
      <c r="E13" s="5">
        <v>22.5</v>
      </c>
      <c r="F13" s="5">
        <v>0.1</v>
      </c>
      <c r="H13" s="3"/>
      <c r="I13">
        <v>100</v>
      </c>
      <c r="J13">
        <v>220</v>
      </c>
      <c r="K13">
        <v>126</v>
      </c>
      <c r="L13" s="5">
        <v>20</v>
      </c>
      <c r="M13" s="5">
        <v>9.1999999999999993</v>
      </c>
    </row>
    <row r="14" spans="1:13" x14ac:dyDescent="0.6">
      <c r="A14" s="3" t="s">
        <v>48</v>
      </c>
      <c r="B14" t="s">
        <v>67</v>
      </c>
      <c r="C14" t="s">
        <v>51</v>
      </c>
      <c r="D14" t="s">
        <v>52</v>
      </c>
      <c r="E14" t="s">
        <v>28</v>
      </c>
      <c r="F14" s="4" t="s">
        <v>29</v>
      </c>
      <c r="H14" s="3" t="s">
        <v>48</v>
      </c>
      <c r="I14" t="s">
        <v>67</v>
      </c>
      <c r="J14" t="s">
        <v>51</v>
      </c>
      <c r="K14" t="s">
        <v>52</v>
      </c>
      <c r="L14" t="s">
        <v>28</v>
      </c>
      <c r="M14" s="4" t="s">
        <v>29</v>
      </c>
    </row>
    <row r="15" spans="1:13" x14ac:dyDescent="0.6">
      <c r="A15" s="3"/>
      <c r="B15" t="s">
        <v>68</v>
      </c>
      <c r="C15" t="s">
        <v>32</v>
      </c>
      <c r="D15" t="s">
        <v>32</v>
      </c>
      <c r="E15" t="s">
        <v>32</v>
      </c>
      <c r="F15" s="4" t="s">
        <v>32</v>
      </c>
      <c r="H15" s="3"/>
      <c r="I15" t="s">
        <v>68</v>
      </c>
      <c r="J15" t="s">
        <v>32</v>
      </c>
      <c r="K15" t="s">
        <v>32</v>
      </c>
      <c r="L15" t="s">
        <v>32</v>
      </c>
      <c r="M15" s="4" t="s">
        <v>32</v>
      </c>
    </row>
    <row r="16" spans="1:13" x14ac:dyDescent="0.6">
      <c r="A16" s="3"/>
      <c r="B16">
        <v>0</v>
      </c>
      <c r="C16" s="5">
        <v>60</v>
      </c>
      <c r="D16" s="5">
        <v>59.9</v>
      </c>
      <c r="E16" s="1">
        <v>21</v>
      </c>
      <c r="F16" s="5">
        <v>16</v>
      </c>
      <c r="H16" s="3"/>
      <c r="I16">
        <v>0</v>
      </c>
      <c r="J16" s="5">
        <v>56</v>
      </c>
      <c r="K16" s="5">
        <v>55.9</v>
      </c>
      <c r="L16" s="1">
        <v>34</v>
      </c>
      <c r="M16" s="6">
        <v>4.5</v>
      </c>
    </row>
    <row r="17" spans="1:13" x14ac:dyDescent="0.6">
      <c r="A17" s="3"/>
      <c r="B17">
        <v>25</v>
      </c>
      <c r="C17">
        <v>72</v>
      </c>
      <c r="D17">
        <v>62</v>
      </c>
      <c r="E17" s="5">
        <v>17.899999999999999</v>
      </c>
      <c r="F17" s="5">
        <v>1.04</v>
      </c>
      <c r="H17" s="3"/>
      <c r="I17">
        <v>25</v>
      </c>
      <c r="J17">
        <v>135</v>
      </c>
      <c r="K17">
        <v>106</v>
      </c>
      <c r="L17" s="5">
        <v>16.5</v>
      </c>
      <c r="M17" s="5">
        <v>3.9</v>
      </c>
    </row>
    <row r="18" spans="1:13" x14ac:dyDescent="0.6">
      <c r="A18" s="3"/>
      <c r="B18">
        <v>50</v>
      </c>
      <c r="C18">
        <v>126</v>
      </c>
      <c r="D18">
        <v>69</v>
      </c>
      <c r="E18" s="5">
        <v>18.3</v>
      </c>
      <c r="F18" s="5">
        <v>7.1</v>
      </c>
      <c r="H18" s="3"/>
      <c r="I18">
        <v>50</v>
      </c>
      <c r="J18">
        <v>140</v>
      </c>
      <c r="K18">
        <v>100</v>
      </c>
      <c r="L18" s="5">
        <v>16</v>
      </c>
      <c r="M18" s="5">
        <v>7.5</v>
      </c>
    </row>
    <row r="19" spans="1:13" x14ac:dyDescent="0.6">
      <c r="A19" s="3"/>
      <c r="B19">
        <v>75</v>
      </c>
      <c r="C19">
        <v>175</v>
      </c>
      <c r="D19">
        <v>73</v>
      </c>
      <c r="E19" s="5">
        <v>18.5</v>
      </c>
      <c r="F19" s="5">
        <v>8.5</v>
      </c>
      <c r="H19" s="3"/>
      <c r="I19">
        <v>75</v>
      </c>
      <c r="J19">
        <v>197</v>
      </c>
      <c r="K19">
        <v>117</v>
      </c>
      <c r="L19" s="5">
        <v>19</v>
      </c>
      <c r="M19" s="5">
        <v>8.3000000000000007</v>
      </c>
    </row>
    <row r="20" spans="1:13" x14ac:dyDescent="0.6">
      <c r="A20" s="3"/>
      <c r="B20">
        <v>100</v>
      </c>
      <c r="C20">
        <v>190</v>
      </c>
      <c r="D20">
        <v>85</v>
      </c>
      <c r="E20" s="5">
        <v>22.5</v>
      </c>
      <c r="F20" s="5">
        <v>7.9</v>
      </c>
      <c r="H20" s="3"/>
      <c r="I20">
        <v>100</v>
      </c>
      <c r="J20">
        <v>225</v>
      </c>
      <c r="K20">
        <v>123</v>
      </c>
      <c r="L20" s="5">
        <v>21</v>
      </c>
      <c r="M20" s="5">
        <v>8.9</v>
      </c>
    </row>
  </sheetData>
  <mergeCells count="2">
    <mergeCell ref="H1:M1"/>
    <mergeCell ref="A1:F1"/>
  </mergeCells>
  <conditionalFormatting sqref="C2:D5 E10:F13 E17:F20 J9:M9 L10:M13 J16:M16 L17:M20 C9:F9 C16:F16">
    <cfRule type="containsBlanks" dxfId="1" priority="4">
      <formula>LEN(TRIM(C2))=0</formula>
    </cfRule>
  </conditionalFormatting>
  <conditionalFormatting sqref="J2:K5">
    <cfRule type="containsBlanks" dxfId="0" priority="1">
      <formula>LEN(TRIM(J2))=0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 Flow and Facility details</vt:lpstr>
      <vt:lpstr>2 Drag 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2025-01-31T17:30:25Z</dcterms:created>
  <dcterms:modified xsi:type="dcterms:W3CDTF">2026-04-08T17:22:03Z</dcterms:modified>
</cp:coreProperties>
</file>